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Hasil Test" sheetId="2" state="visible" r:id="rId2"/>
    <sheet name="Coverage" sheetId="3" state="visible" r:id="rId3"/>
    <sheet name="Temuan" sheetId="4" state="visible" r:id="rId4"/>
    <sheet name="Dependency &amp; Secret" sheetId="5" state="visible" r:id="rId5"/>
    <sheet name="Kompleksitas &amp; Duplikasi" sheetId="6" state="visible" r:id="rId6"/>
    <sheet name="Rekomendasi Test" sheetId="7" state="visible" r:id="rId7"/>
    <sheet name="Keterbatasan" sheetId="8" state="visible" r:id="rId8"/>
  </sheets>
  <definedNames>
    <definedName name="_xlnm._FilterDatabase" localSheetId="1" hidden="1">'Hasil Test'!$A$1:$F$16</definedName>
    <definedName name="_xlnm._FilterDatabase" localSheetId="2" hidden="1">'Coverage'!$A$1:$G$22</definedName>
    <definedName name="_xlnm._FilterDatabase" localSheetId="3" hidden="1">'Temuan'!$A$1:$I$14</definedName>
    <definedName name="_xlnm._FilterDatabase" localSheetId="4" hidden="1">'Dependency &amp; Secret'!$A$1:$F$13</definedName>
    <definedName name="_xlnm._FilterDatabase" localSheetId="5" hidden="1">'Kompleksitas &amp; Duplikasi'!$A$1:$E$21</definedName>
    <definedName name="_xlnm._FilterDatabase" localSheetId="6" hidden="1">'Rekomendasi Test'!$A$1:$E$11</definedName>
    <definedName name="_xlnm._FilterDatabase" localSheetId="7" hidden="1">'Keterbatasan'!$A$1:$E$5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i val="1"/>
      <color rgb="00595959"/>
      <sz val="10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B25900"/>
      <sz val="10"/>
    </font>
    <font>
      <name val="Segoe UI"/>
      <b val="1"/>
      <color rgb="007F6000"/>
      <sz val="10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F9E6"/>
        <bgColor rgb="00FFF9E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  <col width="4" customWidth="1" min="4" max="4"/>
    <col width="28" customWidth="1" min="5" max="5"/>
    <col width="20" customWidth="1" min="6" max="6"/>
    <col width="54" customWidth="1" min="7" max="7"/>
  </cols>
  <sheetData>
    <row r="1">
      <c r="A1" s="1" t="inlineStr">
        <is>
          <t>LAPORAN EXECUTIVE WHITEBOX TESTING &amp; QUALITY AUDIT</t>
        </is>
      </c>
    </row>
    <row r="2">
      <c r="A2" s="2" t="inlineStr">
        <is>
          <t>Sistem SignalNiagaJasaTender (Laravel 10 + MySQL / SQLite Testing Env)</t>
        </is>
      </c>
    </row>
    <row r="4">
      <c r="A4" s="3" t="inlineStr">
        <is>
          <t>HASIL TEST EXISTING</t>
        </is>
      </c>
      <c r="E4" s="3" t="inlineStr">
        <is>
          <t>DISTRIBUSI TEMUAN SEVERITY (FORMULA EXCEL)</t>
        </is>
      </c>
    </row>
    <row r="5">
      <c r="A5" s="4" t="inlineStr">
        <is>
          <t>Metrik</t>
        </is>
      </c>
      <c r="B5" s="4" t="inlineStr">
        <is>
          <t>Nilai</t>
        </is>
      </c>
      <c r="C5" s="4" t="inlineStr">
        <is>
          <t>Keterangan</t>
        </is>
      </c>
      <c r="E5" s="4" t="inlineStr">
        <is>
          <t>Tingkat Keparahan</t>
        </is>
      </c>
      <c r="F5" s="4" t="inlineStr">
        <is>
          <t>Jumlah Temuan</t>
        </is>
      </c>
      <c r="G5" s="4" t="inlineStr">
        <is>
          <t>Target Penanganan</t>
        </is>
      </c>
    </row>
    <row r="6">
      <c r="A6" s="5" t="inlineStr">
        <is>
          <t>Total Test Existing</t>
        </is>
      </c>
      <c r="B6" s="6">
        <f>COUNTA('Hasil Test'!C2:C16)</f>
        <v/>
      </c>
      <c r="C6" s="7" t="inlineStr">
        <is>
          <t>Total skenario pengujian di codebase</t>
        </is>
      </c>
      <c r="E6" s="8" t="inlineStr">
        <is>
          <t>Critical</t>
        </is>
      </c>
      <c r="F6" s="9">
        <f>COUNTIF(Temuan!B2:B20, "Critical")</f>
        <v/>
      </c>
      <c r="G6" s="7" t="inlineStr">
        <is>
          <t>Wajib ditangani segera (BOLA API, Bypass Otorisasi)</t>
        </is>
      </c>
    </row>
    <row r="7">
      <c r="A7" s="5" t="inlineStr">
        <is>
          <t>Test Lulus (Pass)</t>
        </is>
      </c>
      <c r="B7" s="6">
        <f>COUNTIF('Hasil Test'!D2:D16, "Pass")</f>
        <v/>
      </c>
      <c r="C7" s="7" t="inlineStr">
        <is>
          <t>Unit tests yang berhasil dieksekusi</t>
        </is>
      </c>
      <c r="E7" s="10" t="inlineStr">
        <is>
          <t>High</t>
        </is>
      </c>
      <c r="F7" s="11">
        <f>COUNTIF(Temuan!B2:B20, "High")</f>
        <v/>
      </c>
      <c r="G7" s="7" t="inlineStr">
        <is>
          <t>Wajib ditangani sebelum rilis (Upload File, Stock Race)</t>
        </is>
      </c>
    </row>
    <row r="8">
      <c r="A8" s="5" t="inlineStr">
        <is>
          <t>Test Gagal (Fail)</t>
        </is>
      </c>
      <c r="B8" s="6">
        <f>COUNTIF('Hasil Test'!D2:D16, "Fail")</f>
        <v/>
      </c>
      <c r="C8" s="7" t="inlineStr">
        <is>
          <t>Gagal karena host PHP CLI belum memuat pdo_sqlite</t>
        </is>
      </c>
      <c r="E8" s="12" t="inlineStr">
        <is>
          <t>Medium</t>
        </is>
      </c>
      <c r="F8" s="13">
        <f>COUNTIF(Temuan!B2:B20, "Medium")</f>
        <v/>
      </c>
      <c r="G8" s="7" t="inlineStr">
        <is>
          <t>Prioritas sprint berikutnya (N+1, Random collision)</t>
        </is>
      </c>
    </row>
    <row r="9">
      <c r="A9" s="5" t="inlineStr">
        <is>
          <t>Test Dilewati (Skip)</t>
        </is>
      </c>
      <c r="B9" s="6">
        <f>COUNTIF('Hasil Test'!D2:D16, "Skip")</f>
        <v/>
      </c>
      <c r="C9" s="7" t="inlineStr">
        <is>
          <t>Tidak ada test yang diskip</t>
        </is>
      </c>
      <c r="E9" s="14" t="inlineStr">
        <is>
          <t>Low</t>
        </is>
      </c>
      <c r="F9" s="15">
        <f>COUNTIF(Temuan!B2:B20, "Low")</f>
        <v/>
      </c>
      <c r="G9" s="7" t="inlineStr">
        <is>
          <t>Perbaikan berkala &amp; kebersihan kode (Pint style, Hardcoded rate)</t>
        </is>
      </c>
    </row>
    <row r="10">
      <c r="A10" s="5" t="inlineStr">
        <is>
          <t>Tingkat Kelulusan</t>
        </is>
      </c>
      <c r="B10" s="16">
        <f>B7/B6</f>
        <v/>
      </c>
      <c r="C10" s="7" t="inlineStr">
        <is>
          <t>Persentase kelulusan test existing</t>
        </is>
      </c>
      <c r="E10" s="5" t="inlineStr">
        <is>
          <t>Total Temuan</t>
        </is>
      </c>
      <c r="F10" s="6">
        <f>SUM(F6:F9)</f>
        <v/>
      </c>
      <c r="G10" s="7" t="inlineStr">
        <is>
          <t>Total akumulasi temuan kualitas &amp; keamanan kode</t>
        </is>
      </c>
    </row>
    <row r="12">
      <c r="A12" s="3" t="inlineStr">
        <is>
          <t>LINGKUNGAN PENGUJIAN &amp; TOOLCHAIN</t>
        </is>
      </c>
      <c r="E12" s="3" t="inlineStr">
        <is>
          <t>PENILAIAN RISIKO KESELURUHAN (OVERALL RISK SCORE)</t>
        </is>
      </c>
    </row>
    <row r="13">
      <c r="A13" s="4" t="inlineStr">
        <is>
          <t>Komponen / Tool</t>
        </is>
      </c>
      <c r="B13" s="4" t="inlineStr">
        <is>
          <t>Versi Terdeteksi</t>
        </is>
      </c>
      <c r="C13" s="4" t="inlineStr">
        <is>
          <t>Tujuan / Perintah</t>
        </is>
      </c>
      <c r="E13" s="4" t="inlineStr">
        <is>
          <t>Dimensi Evaluasi</t>
        </is>
      </c>
      <c r="F13" s="4" t="inlineStr">
        <is>
          <t>Rating</t>
        </is>
      </c>
      <c r="G13" s="4" t="inlineStr">
        <is>
          <t>Catatan Rekomendasi</t>
        </is>
      </c>
    </row>
    <row r="14">
      <c r="A14" s="5" t="inlineStr">
        <is>
          <t>PHP CLI Runtime</t>
        </is>
      </c>
      <c r="B14" s="7" t="inlineStr">
        <is>
          <t>PHP 8.1.10 (x64 ZTS, VS16)</t>
        </is>
      </c>
      <c r="C14" s="7" t="inlineStr">
        <is>
          <t>php -v (Laragon environment)</t>
        </is>
      </c>
      <c r="E14" s="5" t="inlineStr">
        <is>
          <t>Skor Risiko Keseluruhan</t>
        </is>
      </c>
      <c r="F14" s="9" t="inlineStr">
        <is>
          <t>TINGGI (HIGH RISK)</t>
        </is>
      </c>
      <c r="G14" s="7" t="inlineStr">
        <is>
          <t>Ditemukan celah otorisasi API kritis dan celah upload dokumen.</t>
        </is>
      </c>
    </row>
    <row r="15">
      <c r="A15" s="5" t="inlineStr">
        <is>
          <t>Laravel Framework</t>
        </is>
      </c>
      <c r="B15" s="7" t="inlineStr">
        <is>
          <t>10.48.28</t>
        </is>
      </c>
      <c r="C15" s="7" t="inlineStr">
        <is>
          <t>php artisan --version</t>
        </is>
      </c>
      <c r="E15" s="5" t="inlineStr">
        <is>
          <t>Kesiapan Test Suite</t>
        </is>
      </c>
      <c r="F15" s="17" t="inlineStr">
        <is>
          <t>RENDAH (LOW COVERAGE)</t>
        </is>
      </c>
      <c r="G15" s="7" t="inlineStr">
        <is>
          <t>14 dari 15 test gagal akibat dependensi driver SQLite pada CLI host.</t>
        </is>
      </c>
    </row>
    <row r="16">
      <c r="A16" s="5" t="inlineStr">
        <is>
          <t>Test Runner</t>
        </is>
      </c>
      <c r="B16" s="7" t="inlineStr">
        <is>
          <t>PHPUnit 10.5.45</t>
        </is>
      </c>
      <c r="C16" s="7" t="inlineStr">
        <is>
          <t>php artisan test</t>
        </is>
      </c>
      <c r="E16" s="5" t="inlineStr">
        <is>
          <t>Keamanan Dependensi</t>
        </is>
      </c>
      <c r="F16" s="6" t="inlineStr">
        <is>
          <t>SEDANG (MEDIUM)</t>
        </is>
      </c>
      <c r="G16" s="7" t="inlineStr">
        <is>
          <t>8 advisory pada composer (termasuk CVE CRLF) &amp; 5 npm vulnerabilities.</t>
        </is>
      </c>
    </row>
    <row r="17">
      <c r="A17" s="5" t="inlineStr">
        <is>
          <t>Linter &amp; Code Style</t>
        </is>
      </c>
      <c r="B17" s="7" t="inlineStr">
        <is>
          <t>Laravel Pint 1.21.0</t>
        </is>
      </c>
      <c r="C17" s="7" t="inlineStr">
        <is>
          <t>php vendor/bin/pint --test</t>
        </is>
      </c>
      <c r="E17" s="5" t="inlineStr">
        <is>
          <t>Kualitas &amp; Kompleksitas</t>
        </is>
      </c>
      <c r="F17" s="6" t="inlineStr">
        <is>
          <t>SEDANG (MEDIUM)</t>
        </is>
      </c>
      <c r="G17" s="7" t="inlineStr">
        <is>
          <t>25 fungsi memiliki CC &gt; 10 (tertinggi SalesService CC 51).</t>
        </is>
      </c>
    </row>
    <row r="18">
      <c r="A18" s="5" t="inlineStr">
        <is>
          <t>Dependency Auditor (PHP)</t>
        </is>
      </c>
      <c r="B18" s="7" t="inlineStr">
        <is>
          <t>Composer 2.8.12</t>
        </is>
      </c>
      <c r="C18" s="7" t="inlineStr">
        <is>
          <t>composer audit</t>
        </is>
      </c>
      <c r="E18" s="5" t="inlineStr">
        <is>
          <t>Integritas Transaksi</t>
        </is>
      </c>
      <c r="F18" s="17" t="inlineStr">
        <is>
          <t>PERLU PERBAIKAN</t>
        </is>
      </c>
      <c r="G18" s="7" t="inlineStr">
        <is>
          <t>Cek stok dan pembayaran belum menggunakan pessimistic locking.</t>
        </is>
      </c>
    </row>
    <row r="19">
      <c r="A19" s="5" t="inlineStr">
        <is>
          <t>Dependency Auditor (JS)</t>
        </is>
      </c>
      <c r="B19" s="7" t="inlineStr">
        <is>
          <t>NPM 11.13.0 / Node v20+</t>
        </is>
      </c>
      <c r="C19" s="7" t="inlineStr">
        <is>
          <t>npm audit</t>
        </is>
      </c>
    </row>
    <row r="20">
      <c r="A20" s="5" t="inlineStr">
        <is>
          <t>Database Engine</t>
        </is>
      </c>
      <c r="B20" s="7" t="inlineStr">
        <is>
          <t>MySQL 8.0.30 &amp; SQLite In-Memory</t>
        </is>
      </c>
      <c r="C20" s="7" t="inlineStr">
        <is>
          <t>Database operasional &amp; DB unit testing</t>
        </is>
      </c>
    </row>
    <row r="21">
      <c r="A21" s="5" t="inlineStr">
        <is>
          <t>Static Code Analyzer</t>
        </is>
      </c>
      <c r="B21" s="7" t="inlineStr">
        <is>
          <t>Python 3.13.0 Custom AST Parser</t>
        </is>
      </c>
      <c r="C21" s="7" t="inlineStr">
        <is>
          <t>Analisis Kompleksitas Siklomatik &amp; Pattern Scanner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12" customWidth="1" min="4" max="4"/>
    <col width="12" customWidth="1" min="5" max="5"/>
    <col width="60" customWidth="1" min="6" max="6"/>
  </cols>
  <sheetData>
    <row r="1">
      <c r="A1" s="4" t="inlineStr">
        <is>
          <t>No</t>
        </is>
      </c>
      <c r="B1" s="4" t="inlineStr">
        <is>
          <t>Modul</t>
        </is>
      </c>
      <c r="C1" s="4" t="inlineStr">
        <is>
          <t>Nama Test</t>
        </is>
      </c>
      <c r="D1" s="4" t="inlineStr">
        <is>
          <t>Status</t>
        </is>
      </c>
      <c r="E1" s="4" t="inlineStr">
        <is>
          <t>Durasi</t>
        </is>
      </c>
      <c r="F1" s="4" t="inlineStr">
        <is>
          <t>Pesan Error Ringkas</t>
        </is>
      </c>
    </row>
    <row r="2">
      <c r="A2" s="18" t="n">
        <v>1</v>
      </c>
      <c r="B2" s="7" t="inlineStr">
        <is>
          <t>Unit Example</t>
        </is>
      </c>
      <c r="C2" s="7" t="inlineStr">
        <is>
          <t>Tests\Unit\ExampleTest &gt; that true is true</t>
        </is>
      </c>
      <c r="D2" s="15" t="inlineStr">
        <is>
          <t>Pass</t>
        </is>
      </c>
      <c r="E2" s="18" t="inlineStr">
        <is>
          <t>0.02s</t>
        </is>
      </c>
      <c r="F2" s="7" t="inlineStr">
        <is>
          <t>-</t>
        </is>
      </c>
    </row>
    <row r="3">
      <c r="A3" s="18" t="n">
        <v>2</v>
      </c>
      <c r="B3" s="7" t="inlineStr">
        <is>
          <t>Commercial Service</t>
        </is>
      </c>
      <c r="C3" s="7" t="inlineStr">
        <is>
          <t>Tests\Feature\BusinessFlowTest &gt; service quotation can be created</t>
        </is>
      </c>
      <c r="D3" s="9" t="inlineStr">
        <is>
          <t>Fail</t>
        </is>
      </c>
      <c r="E3" s="18" t="inlineStr">
        <is>
          <t>0.01s</t>
        </is>
      </c>
      <c r="F3" s="7" t="inlineStr">
        <is>
          <t>QueryException: could not find driver (Connection: sqlite, SQL: PRAGMA foreign_keys = ON;)</t>
        </is>
      </c>
    </row>
    <row r="4">
      <c r="A4" s="18" t="n">
        <v>3</v>
      </c>
      <c r="B4" s="7" t="inlineStr">
        <is>
          <t>Sales &amp; Inventory</t>
        </is>
      </c>
      <c r="C4" s="7" t="inlineStr">
        <is>
          <t>Tests\Feature\BusinessFlowTest &gt; sale rejects insufficient stock</t>
        </is>
      </c>
      <c r="D4" s="9" t="inlineStr">
        <is>
          <t>Fail</t>
        </is>
      </c>
      <c r="E4" s="18" t="inlineStr">
        <is>
          <t>0.01s</t>
        </is>
      </c>
      <c r="F4" s="7" t="inlineStr">
        <is>
          <t>QueryException: could not find driver (Connection: sqlite)</t>
        </is>
      </c>
    </row>
    <row r="5">
      <c r="A5" s="18" t="n">
        <v>4</v>
      </c>
      <c r="B5" s="7" t="inlineStr">
        <is>
          <t>Finance Payment</t>
        </is>
      </c>
      <c r="C5" s="7" t="inlineStr">
        <is>
          <t>Tests\Feature\BusinessFlowTest &gt; payment cannot exceed invoice balance</t>
        </is>
      </c>
      <c r="D5" s="9" t="inlineStr">
        <is>
          <t>Fail</t>
        </is>
      </c>
      <c r="E5" s="18" t="inlineStr">
        <is>
          <t>0.01s</t>
        </is>
      </c>
      <c r="F5" s="7" t="inlineStr">
        <is>
          <t>QueryException: could not find driver (Connection: sqlite)</t>
        </is>
      </c>
    </row>
    <row r="6">
      <c r="A6" s="18" t="n">
        <v>5</v>
      </c>
      <c r="B6" s="7" t="inlineStr">
        <is>
          <t>Sales &amp; Invoice</t>
        </is>
      </c>
      <c r="C6" s="7" t="inlineStr">
        <is>
          <t>Tests\Feature\BusinessFlowTest &gt; sale creates invoice items</t>
        </is>
      </c>
      <c r="D6" s="9" t="inlineStr">
        <is>
          <t>Fail</t>
        </is>
      </c>
      <c r="E6" s="18" t="inlineStr">
        <is>
          <t>0.01s</t>
        </is>
      </c>
      <c r="F6" s="7" t="inlineStr">
        <is>
          <t>QueryException: could not find driver (Connection: sqlite)</t>
        </is>
      </c>
    </row>
    <row r="7">
      <c r="A7" s="18" t="n">
        <v>6</v>
      </c>
      <c r="B7" s="7" t="inlineStr">
        <is>
          <t>Tender Evaluation</t>
        </is>
      </c>
      <c r="C7" s="7" t="inlineStr">
        <is>
          <t>Tests\Feature\BusinessFlowTest &gt; tender evaluation is recorded</t>
        </is>
      </c>
      <c r="D7" s="9" t="inlineStr">
        <is>
          <t>Fail</t>
        </is>
      </c>
      <c r="E7" s="18" t="inlineStr">
        <is>
          <t>0.01s</t>
        </is>
      </c>
      <c r="F7" s="7" t="inlineStr">
        <is>
          <t>QueryException: could not find driver (Connection: sqlite)</t>
        </is>
      </c>
    </row>
    <row r="8">
      <c r="A8" s="18" t="n">
        <v>7</v>
      </c>
      <c r="B8" s="7" t="inlineStr">
        <is>
          <t>Tender Lifecycle</t>
        </is>
      </c>
      <c r="C8" s="7" t="inlineStr">
        <is>
          <t>Tests\Feature\BusinessFlowTest &gt; rejected tender moves to lost status</t>
        </is>
      </c>
      <c r="D8" s="9" t="inlineStr">
        <is>
          <t>Fail</t>
        </is>
      </c>
      <c r="E8" s="18" t="inlineStr">
        <is>
          <t>0.01s</t>
        </is>
      </c>
      <c r="F8" s="7" t="inlineStr">
        <is>
          <t>QueryException: could not find driver (Connection: sqlite)</t>
        </is>
      </c>
    </row>
    <row r="9">
      <c r="A9" s="18" t="n">
        <v>8</v>
      </c>
      <c r="B9" s="7" t="inlineStr">
        <is>
          <t>Tender Documents</t>
        </is>
      </c>
      <c r="C9" s="7" t="inlineStr">
        <is>
          <t>Tests\Feature\BusinessFlowTest &gt; uploading tender document replaces previous document</t>
        </is>
      </c>
      <c r="D9" s="9" t="inlineStr">
        <is>
          <t>Fail</t>
        </is>
      </c>
      <c r="E9" s="18" t="inlineStr">
        <is>
          <t>0.01s</t>
        </is>
      </c>
      <c r="F9" s="7" t="inlineStr">
        <is>
          <t>QueryException: could not find driver (Connection: sqlite)</t>
        </is>
      </c>
    </row>
    <row r="10">
      <c r="A10" s="18" t="n">
        <v>9</v>
      </c>
      <c r="B10" s="7" t="inlineStr">
        <is>
          <t>Console Reminders</t>
        </is>
      </c>
      <c r="C10" s="7" t="inlineStr">
        <is>
          <t>Tests\Feature\BusinessFlowTest &gt; deadline command notifies business roles</t>
        </is>
      </c>
      <c r="D10" s="9" t="inlineStr">
        <is>
          <t>Fail</t>
        </is>
      </c>
      <c r="E10" s="18" t="inlineStr">
        <is>
          <t>0.01s</t>
        </is>
      </c>
      <c r="F10" s="7" t="inlineStr">
        <is>
          <t>QueryException: could not find driver (Connection: sqlite)</t>
        </is>
      </c>
    </row>
    <row r="11">
      <c r="A11" s="18" t="n">
        <v>10</v>
      </c>
      <c r="B11" s="7" t="inlineStr">
        <is>
          <t>Auth Password</t>
        </is>
      </c>
      <c r="C11" s="7" t="inlineStr">
        <is>
          <t>Tests\Feature\BusinessFlowTest &gt; local password reset link can be used</t>
        </is>
      </c>
      <c r="D11" s="9" t="inlineStr">
        <is>
          <t>Fail</t>
        </is>
      </c>
      <c r="E11" s="18" t="inlineStr">
        <is>
          <t>0.01s</t>
        </is>
      </c>
      <c r="F11" s="7" t="inlineStr">
        <is>
          <t>QueryException: could not find driver (Connection: sqlite)</t>
        </is>
      </c>
    </row>
    <row r="12">
      <c r="A12" s="18" t="n">
        <v>11</v>
      </c>
      <c r="B12" s="7" t="inlineStr">
        <is>
          <t>Auth Registration</t>
        </is>
      </c>
      <c r="C12" s="7" t="inlineStr">
        <is>
          <t>Tests\Feature\BusinessFlowTest &gt; registration requires super admin approval before login</t>
        </is>
      </c>
      <c r="D12" s="9" t="inlineStr">
        <is>
          <t>Fail</t>
        </is>
      </c>
      <c r="E12" s="18" t="inlineStr">
        <is>
          <t>0.01s</t>
        </is>
      </c>
      <c r="F12" s="7" t="inlineStr">
        <is>
          <t>QueryException: could not find driver (Connection: sqlite)</t>
        </is>
      </c>
    </row>
    <row r="13">
      <c r="A13" s="18" t="n">
        <v>12</v>
      </c>
      <c r="B13" s="7" t="inlineStr">
        <is>
          <t>Auth Security</t>
        </is>
      </c>
      <c r="C13" s="7" t="inlineStr">
        <is>
          <t>Tests\Feature\BusinessFlowTest &gt; login requires a valid server side captcha</t>
        </is>
      </c>
      <c r="D13" s="9" t="inlineStr">
        <is>
          <t>Fail</t>
        </is>
      </c>
      <c r="E13" s="18" t="inlineStr">
        <is>
          <t>0.01s</t>
        </is>
      </c>
      <c r="F13" s="7" t="inlineStr">
        <is>
          <t>QueryException: could not find driver (Connection: sqlite)</t>
        </is>
      </c>
    </row>
    <row r="14">
      <c r="A14" s="18" t="n">
        <v>13</v>
      </c>
      <c r="B14" s="7" t="inlineStr">
        <is>
          <t>Auth Security</t>
        </is>
      </c>
      <c r="C14" s="7" t="inlineStr">
        <is>
          <t>Tests\Feature\BusinessFlowTest &gt; login captcha can be refreshed</t>
        </is>
      </c>
      <c r="D14" s="9" t="inlineStr">
        <is>
          <t>Fail</t>
        </is>
      </c>
      <c r="E14" s="18" t="inlineStr">
        <is>
          <t>0.01s</t>
        </is>
      </c>
      <c r="F14" s="7" t="inlineStr">
        <is>
          <t>QueryException: could not find driver (Connection: sqlite)</t>
        </is>
      </c>
    </row>
    <row r="15">
      <c r="A15" s="18" t="n">
        <v>14</v>
      </c>
      <c r="B15" s="7" t="inlineStr">
        <is>
          <t>User Management</t>
        </is>
      </c>
      <c r="C15" s="7" t="inlineStr">
        <is>
          <t>Tests\Feature\BusinessFlowTest &gt; user delete requires matching email confirmation</t>
        </is>
      </c>
      <c r="D15" s="9" t="inlineStr">
        <is>
          <t>Fail</t>
        </is>
      </c>
      <c r="E15" s="18" t="inlineStr">
        <is>
          <t>0.01s</t>
        </is>
      </c>
      <c r="F15" s="7" t="inlineStr">
        <is>
          <t>QueryException: could not find driver (Connection: sqlite)</t>
        </is>
      </c>
    </row>
    <row r="16">
      <c r="A16" s="18" t="n">
        <v>15</v>
      </c>
      <c r="B16" s="7" t="inlineStr">
        <is>
          <t>Feature Example</t>
        </is>
      </c>
      <c r="C16" s="7" t="inlineStr">
        <is>
          <t>Tests\Feature\ExampleTest &gt; the application returns a successful response</t>
        </is>
      </c>
      <c r="D16" s="9" t="inlineStr">
        <is>
          <t>Fail</t>
        </is>
      </c>
      <c r="E16" s="18" t="inlineStr">
        <is>
          <t>0.01s</t>
        </is>
      </c>
      <c r="F16" s="7" t="inlineStr">
        <is>
          <t>QueryException: could not find driver (Connection: sqlite)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4" t="inlineStr">
        <is>
          <t>No</t>
        </is>
      </c>
      <c r="B1" s="4" t="inlineStr">
        <is>
          <t>Modul / File</t>
        </is>
      </c>
      <c r="C1" s="4" t="inlineStr">
        <is>
          <t>Statement %</t>
        </is>
      </c>
      <c r="D1" s="4" t="inlineStr">
        <is>
          <t>Branch %</t>
        </is>
      </c>
      <c r="E1" s="4" t="inlineStr">
        <is>
          <t>Function %</t>
        </is>
      </c>
      <c r="F1" s="4" t="inlineStr">
        <is>
          <t>Line %</t>
        </is>
      </c>
      <c r="G1" s="4" t="inlineStr">
        <is>
          <t>Keterangan</t>
        </is>
      </c>
    </row>
    <row r="2">
      <c r="A2" s="18" t="n">
        <v>1</v>
      </c>
      <c r="B2" s="7" t="inlineStr">
        <is>
          <t>app/Http/Controllers/Api/BusinessApiController.php</t>
        </is>
      </c>
      <c r="C2" s="19" t="n">
        <v>0</v>
      </c>
      <c r="D2" s="19" t="n">
        <v>0</v>
      </c>
      <c r="E2" s="19" t="n">
        <v>0</v>
      </c>
      <c r="F2" s="19" t="n">
        <v>0</v>
      </c>
      <c r="G2" s="7" t="inlineStr">
        <is>
          <t>Belum tercover test otomatis (0%)</t>
        </is>
      </c>
    </row>
    <row r="3">
      <c r="A3" s="18" t="n">
        <v>2</v>
      </c>
      <c r="B3" s="7" t="inlineStr">
        <is>
          <t>app/Http/Controllers/TenderProjectController.php</t>
        </is>
      </c>
      <c r="C3" s="19" t="n">
        <v>0</v>
      </c>
      <c r="D3" s="19" t="n">
        <v>0</v>
      </c>
      <c r="E3" s="19" t="n">
        <v>0</v>
      </c>
      <c r="F3" s="19" t="n">
        <v>0</v>
      </c>
      <c r="G3" s="7" t="inlineStr">
        <is>
          <t>Belum tercover test otomatis (0%)</t>
        </is>
      </c>
    </row>
    <row r="4">
      <c r="A4" s="18" t="n">
        <v>3</v>
      </c>
      <c r="B4" s="7" t="inlineStr">
        <is>
          <t>app/Http/Controllers/ServiceOperationsController.php</t>
        </is>
      </c>
      <c r="C4" s="19" t="n">
        <v>0</v>
      </c>
      <c r="D4" s="19" t="n">
        <v>0</v>
      </c>
      <c r="E4" s="19" t="n">
        <v>0</v>
      </c>
      <c r="F4" s="19" t="n">
        <v>0</v>
      </c>
      <c r="G4" s="7" t="inlineStr">
        <is>
          <t>Belum tercover test otomatis (0%)</t>
        </is>
      </c>
    </row>
    <row r="5">
      <c r="A5" s="18" t="n">
        <v>4</v>
      </c>
      <c r="B5" s="7" t="inlineStr">
        <is>
          <t>app/Http/Controllers/ReportController.php</t>
        </is>
      </c>
      <c r="C5" s="19" t="n">
        <v>0</v>
      </c>
      <c r="D5" s="19" t="n">
        <v>0</v>
      </c>
      <c r="E5" s="19" t="n">
        <v>0</v>
      </c>
      <c r="F5" s="19" t="n">
        <v>0</v>
      </c>
      <c r="G5" s="7" t="inlineStr">
        <is>
          <t>Belum tercover test otomatis (0%)</t>
        </is>
      </c>
    </row>
    <row r="6">
      <c r="A6" s="18" t="n">
        <v>5</v>
      </c>
      <c r="B6" s="7" t="inlineStr">
        <is>
          <t>app/Http/Controllers/DashboardController.php</t>
        </is>
      </c>
      <c r="C6" s="19" t="n">
        <v>0</v>
      </c>
      <c r="D6" s="19" t="n">
        <v>0</v>
      </c>
      <c r="E6" s="19" t="n">
        <v>0</v>
      </c>
      <c r="F6" s="19" t="n">
        <v>0</v>
      </c>
      <c r="G6" s="7" t="inlineStr">
        <is>
          <t>Belum tercover test otomatis (0%)</t>
        </is>
      </c>
    </row>
    <row r="7">
      <c r="A7" s="18" t="n">
        <v>6</v>
      </c>
      <c r="B7" s="7" t="inlineStr">
        <is>
          <t>app/Http/Controllers/ProductController.php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7" t="inlineStr">
        <is>
          <t>Belum tercover test otomatis (0%)</t>
        </is>
      </c>
    </row>
    <row r="8">
      <c r="A8" s="18" t="n">
        <v>7</v>
      </c>
      <c r="B8" s="7" t="inlineStr">
        <is>
          <t>app/Http/Controllers/TenderController.php</t>
        </is>
      </c>
      <c r="C8" s="19" t="n">
        <v>0</v>
      </c>
      <c r="D8" s="19" t="n">
        <v>0</v>
      </c>
      <c r="E8" s="19" t="n">
        <v>0</v>
      </c>
      <c r="F8" s="19" t="n">
        <v>0</v>
      </c>
      <c r="G8" s="7" t="inlineStr">
        <is>
          <t>Belum tercover test otomatis (0%)</t>
        </is>
      </c>
    </row>
    <row r="9">
      <c r="A9" s="18" t="n">
        <v>8</v>
      </c>
      <c r="B9" s="7" t="inlineStr">
        <is>
          <t>app/Http/Controllers/SalesController.php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7" t="inlineStr">
        <is>
          <t>Belum tercover test otomatis (0%)</t>
        </is>
      </c>
    </row>
    <row r="10">
      <c r="A10" s="18" t="n">
        <v>9</v>
      </c>
      <c r="B10" s="7" t="inlineStr">
        <is>
          <t>app/Http/Controllers/InvoiceController.php</t>
        </is>
      </c>
      <c r="C10" s="19" t="n">
        <v>0</v>
      </c>
      <c r="D10" s="19" t="n">
        <v>0</v>
      </c>
      <c r="E10" s="19" t="n">
        <v>0</v>
      </c>
      <c r="F10" s="19" t="n">
        <v>0</v>
      </c>
      <c r="G10" s="7" t="inlineStr">
        <is>
          <t>Belum tercover test otomatis (0%)</t>
        </is>
      </c>
    </row>
    <row r="11">
      <c r="A11" s="18" t="n">
        <v>10</v>
      </c>
      <c r="B11" s="7" t="inlineStr">
        <is>
          <t>app/Http/Controllers/PaymentController.php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7" t="inlineStr">
        <is>
          <t>Belum tercover test otomatis (0%)</t>
        </is>
      </c>
    </row>
    <row r="12">
      <c r="A12" s="18" t="n">
        <v>11</v>
      </c>
      <c r="B12" s="7" t="inlineStr">
        <is>
          <t>app/Http/Controllers/ProcurementController.php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7" t="inlineStr">
        <is>
          <t>Belum tercover test otomatis (0%)</t>
        </is>
      </c>
    </row>
    <row r="13">
      <c r="A13" s="18" t="n">
        <v>12</v>
      </c>
      <c r="B13" s="7" t="inlineStr">
        <is>
          <t>app/Http/Controllers/ServiceJobController.php</t>
        </is>
      </c>
      <c r="C13" s="19" t="n">
        <v>0</v>
      </c>
      <c r="D13" s="19" t="n">
        <v>0</v>
      </c>
      <c r="E13" s="19" t="n">
        <v>0</v>
      </c>
      <c r="F13" s="19" t="n">
        <v>0</v>
      </c>
      <c r="G13" s="7" t="inlineStr">
        <is>
          <t>Belum tercover test otomatis (0%)</t>
        </is>
      </c>
    </row>
    <row r="14">
      <c r="A14" s="18" t="n">
        <v>13</v>
      </c>
      <c r="B14" s="7" t="inlineStr">
        <is>
          <t>app/Http/Controllers/TechnicianController.php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7" t="inlineStr">
        <is>
          <t>Belum tercover test otomatis (0%)</t>
        </is>
      </c>
    </row>
    <row r="15">
      <c r="A15" s="18" t="n">
        <v>14</v>
      </c>
      <c r="B15" s="7" t="inlineStr">
        <is>
          <t>app/Http/Controllers/UserManagementController.php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7" t="inlineStr">
        <is>
          <t>Test gagal dieksekusi (driver SQLite absen)</t>
        </is>
      </c>
    </row>
    <row r="16">
      <c r="A16" s="18" t="n">
        <v>15</v>
      </c>
      <c r="B16" s="7" t="inlineStr">
        <is>
          <t>app/Http/Controllers/AuthController.php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7" t="inlineStr">
        <is>
          <t>Test gagal dieksekusi (driver SQLite absen)</t>
        </is>
      </c>
    </row>
    <row r="17">
      <c r="A17" s="18" t="n">
        <v>16</v>
      </c>
      <c r="B17" s="7" t="inlineStr">
        <is>
          <t>app/Services/SalesService.php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7" t="inlineStr">
        <is>
          <t>Test gagal dieksekusi (driver SQLite absen)</t>
        </is>
      </c>
    </row>
    <row r="18">
      <c r="A18" s="18" t="n">
        <v>17</v>
      </c>
      <c r="B18" s="7" t="inlineStr">
        <is>
          <t>app/Services/PaymentService.php</t>
        </is>
      </c>
      <c r="C18" s="19" t="n">
        <v>0</v>
      </c>
      <c r="D18" s="19" t="n">
        <v>0</v>
      </c>
      <c r="E18" s="19" t="n">
        <v>0</v>
      </c>
      <c r="F18" s="19" t="n">
        <v>0</v>
      </c>
      <c r="G18" s="7" t="inlineStr">
        <is>
          <t>Test gagal dieksekusi (driver SQLite absen)</t>
        </is>
      </c>
    </row>
    <row r="19">
      <c r="A19" s="18" t="n">
        <v>18</v>
      </c>
      <c r="B19" s="7" t="inlineStr">
        <is>
          <t>app/Services/TenderService.php</t>
        </is>
      </c>
      <c r="C19" s="19" t="n">
        <v>0</v>
      </c>
      <c r="D19" s="19" t="n">
        <v>0</v>
      </c>
      <c r="E19" s="19" t="n">
        <v>0</v>
      </c>
      <c r="F19" s="19" t="n">
        <v>0</v>
      </c>
      <c r="G19" s="7" t="inlineStr">
        <is>
          <t>Belum tercover test otomatis (0%)</t>
        </is>
      </c>
    </row>
    <row r="20">
      <c r="A20" s="18" t="n">
        <v>19</v>
      </c>
      <c r="B20" s="7" t="inlineStr">
        <is>
          <t>app/Services/ProcurementService.php</t>
        </is>
      </c>
      <c r="C20" s="19" t="n">
        <v>0</v>
      </c>
      <c r="D20" s="19" t="n">
        <v>0</v>
      </c>
      <c r="E20" s="19" t="n">
        <v>0</v>
      </c>
      <c r="F20" s="19" t="n">
        <v>0</v>
      </c>
      <c r="G20" s="7" t="inlineStr">
        <is>
          <t>Belum tercover test otomatis (0%)</t>
        </is>
      </c>
    </row>
    <row r="21">
      <c r="A21" s="18" t="n">
        <v>20</v>
      </c>
      <c r="B21" s="7" t="inlineStr">
        <is>
          <t>app/Models/Product.php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7" t="inlineStr">
        <is>
          <t>Belum tercover test otomatis (0%)</t>
        </is>
      </c>
    </row>
    <row r="22">
      <c r="A22" s="18" t="n">
        <v>21</v>
      </c>
      <c r="B22" s="7" t="inlineStr">
        <is>
          <t>app/Models/Tender.php</t>
        </is>
      </c>
      <c r="C22" s="19" t="n">
        <v>0</v>
      </c>
      <c r="D22" s="19" t="n">
        <v>0</v>
      </c>
      <c r="E22" s="19" t="n">
        <v>0</v>
      </c>
      <c r="F22" s="19" t="n">
        <v>0</v>
      </c>
      <c r="G22" s="7" t="inlineStr">
        <is>
          <t>Belum tercover test otomatis (0%)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6" customWidth="1" min="4" max="4"/>
    <col width="46" customWidth="1" min="5" max="5"/>
    <col width="44" customWidth="1" min="6" max="6"/>
    <col width="44" customWidth="1" min="7" max="7"/>
    <col width="24" customWidth="1" min="8" max="8"/>
    <col width="14" customWidth="1" min="9" max="9"/>
  </cols>
  <sheetData>
    <row r="1">
      <c r="A1" s="4" t="inlineStr">
        <is>
          <t>ID</t>
        </is>
      </c>
      <c r="B1" s="4" t="inlineStr">
        <is>
          <t>Severity</t>
        </is>
      </c>
      <c r="C1" s="4" t="inlineStr">
        <is>
          <t>Kategori</t>
        </is>
      </c>
      <c r="D1" s="4" t="inlineStr">
        <is>
          <t>File:Baris</t>
        </is>
      </c>
      <c r="E1" s="4" t="inlineStr">
        <is>
          <t>Deskripsi</t>
        </is>
      </c>
      <c r="F1" s="4" t="inlineStr">
        <is>
          <t>Dampak</t>
        </is>
      </c>
      <c r="G1" s="4" t="inlineStr">
        <is>
          <t>Saran Perbaikan</t>
        </is>
      </c>
      <c r="H1" s="4" t="inlineStr">
        <is>
          <t>Sumber</t>
        </is>
      </c>
      <c r="I1" s="4" t="inlineStr">
        <is>
          <t>Status</t>
        </is>
      </c>
    </row>
    <row r="2">
      <c r="A2" s="6" t="inlineStr">
        <is>
          <t>T-01</t>
        </is>
      </c>
      <c r="B2" s="9" t="inlineStr">
        <is>
          <t>Critical</t>
        </is>
      </c>
      <c r="C2" s="18" t="inlineStr">
        <is>
          <t>Keamanan</t>
        </is>
      </c>
      <c r="D2" s="7" t="inlineStr">
        <is>
          <t>app/Http/Controllers/Api/BusinessApiController.php:97</t>
        </is>
      </c>
      <c r="E2" s="7" t="inlineStr">
        <is>
          <t>BOLA (Broken Object Level Authorization) &amp; Bypass Approval Hapus Tender via REST API. Endpoint DELETE /api/tenders/{tender} menghapus tender tanpa pengecekan hak akses atau alur izin Owner/Manager.</t>
        </is>
      </c>
      <c r="F2" s="7" t="inlineStr">
        <is>
          <t>User dengan token API biasa dapat menghapus tender manapun secara sepihak tanpa melewati alur persetujuan dua pihak.</t>
        </is>
      </c>
      <c r="G2" s="7" t="inlineStr">
        <is>
          <t>Terapkan middleware role/permission pada route API dan integrasikan alur request-deletion yang sama dengan web controller.</t>
        </is>
      </c>
      <c r="H2" s="18" t="inlineStr">
        <is>
          <t>Code Review Logika Kritis</t>
        </is>
      </c>
      <c r="I2" s="18" t="inlineStr">
        <is>
          <t>Terverifikasi</t>
        </is>
      </c>
    </row>
    <row r="3">
      <c r="A3" s="6" t="inlineStr">
        <is>
          <t>T-02</t>
        </is>
      </c>
      <c r="B3" s="9" t="inlineStr">
        <is>
          <t>Critical</t>
        </is>
      </c>
      <c r="C3" s="18" t="inlineStr">
        <is>
          <t>Keamanan</t>
        </is>
      </c>
      <c r="D3" s="7" t="inlineStr">
        <is>
          <t>app/Http/Controllers/Api/BusinessApiController.php:80</t>
        </is>
      </c>
      <c r="E3" s="7" t="inlineStr">
        <is>
          <t>Bypass Alur Persetujuan Perubahan Harga Produk &amp; Kontrak via API. Endpoint PUT /api/products/{id} dan PUT /api/contracts/{id} mengubah harga secara langsung tanpa permohonan ke Manager.</t>
        </is>
      </c>
      <c r="F3" s="7" t="inlineStr">
        <is>
          <t>Pencegahan perubahan harga sepihak yang diatur di web diabaikan melalui API, membuka celah manipulasi finansial.</t>
        </is>
      </c>
      <c r="G3" s="7" t="inlineStr">
        <is>
          <t>Tambahkan otorisasi strictly role:owner,manager pada aksi mutasi harga di BusinessApiController.</t>
        </is>
      </c>
      <c r="H3" s="18" t="inlineStr">
        <is>
          <t>Code Review Logika Kritis</t>
        </is>
      </c>
      <c r="I3" s="18" t="inlineStr">
        <is>
          <t>Terverifikasi</t>
        </is>
      </c>
    </row>
    <row r="4">
      <c r="A4" s="6" t="inlineStr">
        <is>
          <t>T-03</t>
        </is>
      </c>
      <c r="B4" s="11" t="inlineStr">
        <is>
          <t>High</t>
        </is>
      </c>
      <c r="C4" s="18" t="inlineStr">
        <is>
          <t>Keamanan</t>
        </is>
      </c>
      <c r="D4" s="7" t="inlineStr">
        <is>
          <t>app/Http/Controllers/TenderController.php:438</t>
        </is>
      </c>
      <c r="E4" s="7" t="inlineStr">
        <is>
          <t>Unrestricted File Upload pada Dokumen Tender. Validasi hanya 'required|file|max:10240' tanpa pembatasan ekstensi atau MIME type (mimes:pdf,docx,xlsx,png,jpg).</t>
        </is>
      </c>
      <c r="F4" s="7" t="inlineStr">
        <is>
          <t>Penyerang dapat mengunggah file berbahaya (.php, .html, .svg) ke direktori public storage, berpotensi Remote Code Execution (RCE) atau Stored XSS.</t>
        </is>
      </c>
      <c r="G4" s="7" t="inlineStr">
        <is>
          <t>Tambahkan validasi ketat: 'mimes:pdf,doc,docx,xls,xlsx,jpg,jpeg,png' dan simpan file di storage non-public dengan download berotorisasi.</t>
        </is>
      </c>
      <c r="H4" s="18" t="inlineStr">
        <is>
          <t>Code Review Logika Kritis</t>
        </is>
      </c>
      <c r="I4" s="18" t="inlineStr">
        <is>
          <t>Terverifikasi</t>
        </is>
      </c>
    </row>
    <row r="5">
      <c r="A5" s="6" t="inlineStr">
        <is>
          <t>T-04</t>
        </is>
      </c>
      <c r="B5" s="11" t="inlineStr">
        <is>
          <t>High</t>
        </is>
      </c>
      <c r="C5" s="18" t="inlineStr">
        <is>
          <t>Bug</t>
        </is>
      </c>
      <c r="D5" s="7" t="inlineStr">
        <is>
          <t>app/Services/SalesService.php:20</t>
        </is>
      </c>
      <c r="E5" s="7" t="inlineStr">
        <is>
          <t>Race Condition Validasi &amp; Pengurangan Stok Barang. Pengecekan stok $product-&gt;stock tidak menggunakan lock baris (lockForUpdate).</t>
        </is>
      </c>
      <c r="F5" s="7" t="inlineStr">
        <is>
          <t>Dua transaksi serentak pada stok produk yang sama dapat lolos validasi bersamaan, menyebabkan kuantitas stok di gudang menjadi negatif.</t>
        </is>
      </c>
      <c r="G5" s="7" t="inlineStr">
        <is>
          <t>Gunakan Product::where('id', $id)-&gt;lockForUpdate()-&gt;firstOrFail() di dalam transaksi DB sebelum validasi kuantitas.</t>
        </is>
      </c>
      <c r="H5" s="18" t="inlineStr">
        <is>
          <t>Code Review Logika Kritis</t>
        </is>
      </c>
      <c r="I5" s="18" t="inlineStr">
        <is>
          <t>Terverifikasi</t>
        </is>
      </c>
    </row>
    <row r="6">
      <c r="A6" s="6" t="inlineStr">
        <is>
          <t>T-05</t>
        </is>
      </c>
      <c r="B6" s="11" t="inlineStr">
        <is>
          <t>High</t>
        </is>
      </c>
      <c r="C6" s="18" t="inlineStr">
        <is>
          <t>Keamanan</t>
        </is>
      </c>
      <c r="D6" s="7" t="inlineStr">
        <is>
          <t>app/Http/Controllers/AuthController.php:189</t>
        </is>
      </c>
      <c r="E6" s="7" t="inlineStr">
        <is>
          <t>Ekspos Tautan Reset Password Beserta Token pada Session/Response di Environment local/testing.</t>
        </is>
      </c>
      <c r="F6" s="7" t="inlineStr">
        <is>
          <t>Jika aplikasi dijalankan di server staging publik dengan APP_ENV=local, token reset password terekspos sehingga akun dapat diambil alih tanpa akses email.</t>
        </is>
      </c>
      <c r="G6" s="7" t="inlineStr">
        <is>
          <t>Hapus pengembalian reset_url di session response atau batasi strictly hanya jika running di PHPUnit unit test context.</t>
        </is>
      </c>
      <c r="H6" s="18" t="inlineStr">
        <is>
          <t>Code Review Logika Kritis</t>
        </is>
      </c>
      <c r="I6" s="18" t="inlineStr">
        <is>
          <t>Terverifikasi</t>
        </is>
      </c>
    </row>
    <row r="7">
      <c r="A7" s="6" t="inlineStr">
        <is>
          <t>T-06</t>
        </is>
      </c>
      <c r="B7" s="13" t="inlineStr">
        <is>
          <t>Medium</t>
        </is>
      </c>
      <c r="C7" s="18" t="inlineStr">
        <is>
          <t>Bug</t>
        </is>
      </c>
      <c r="D7" s="7" t="inlineStr">
        <is>
          <t>app/Services/SalesService.php:40</t>
        </is>
      </c>
      <c r="E7" s="7" t="inlineStr">
        <is>
          <t>Penomoran Penjualan dan Invoice Lemah Menggunakan rand(100, 999). Ruang acak hanya 900 kombinasi per hari.</t>
        </is>
      </c>
      <c r="F7" s="7" t="inlineStr">
        <is>
          <t>Dalam volume penjualan padat, collision pada unique constraint akan melempar unhandled QueryException dan memicu HTTP 500.</t>
        </is>
      </c>
      <c r="G7" s="7" t="inlineStr">
        <is>
          <t>Gunakan auto-increment sequence harian, atomic counter di database/redis, atau format berbasis UUID/timestamp mikrodetik.</t>
        </is>
      </c>
      <c r="H7" s="18" t="inlineStr">
        <is>
          <t>Code Review Logika Kritis</t>
        </is>
      </c>
      <c r="I7" s="18" t="inlineStr">
        <is>
          <t>Terverifikasi</t>
        </is>
      </c>
    </row>
    <row r="8">
      <c r="A8" s="6" t="inlineStr">
        <is>
          <t>T-07</t>
        </is>
      </c>
      <c r="B8" s="13" t="inlineStr">
        <is>
          <t>Medium</t>
        </is>
      </c>
      <c r="C8" s="18" t="inlineStr">
        <is>
          <t>Bug</t>
        </is>
      </c>
      <c r="D8" s="7" t="inlineStr">
        <is>
          <t>app/Http/Controllers/ServiceOperationsController.php:137</t>
        </is>
      </c>
      <c r="E8" s="7" t="inlineStr">
        <is>
          <t>Permintaan Material Operasional Jasa Mengurangi Stok Gudang Tanpa Pengecekan Ketersediaan.</t>
        </is>
      </c>
      <c r="F8" s="7" t="inlineStr">
        <is>
          <t>Jika stok produk di dagang lebih kecil dari permintaan teknisi jasa, stok barang langsung berkurang menjadi negatif tanpa error atau peringatan.</t>
        </is>
      </c>
      <c r="G8" s="7" t="inlineStr">
        <is>
          <t>Tambahkan validasi ketersediaan stok fisik sebelum membuat StockMovement OUT.</t>
        </is>
      </c>
      <c r="H8" s="18" t="inlineStr">
        <is>
          <t>Code Review Logika Kritis</t>
        </is>
      </c>
      <c r="I8" s="18" t="inlineStr">
        <is>
          <t>Terverifikasi</t>
        </is>
      </c>
    </row>
    <row r="9">
      <c r="A9" s="6" t="inlineStr">
        <is>
          <t>T-08</t>
        </is>
      </c>
      <c r="B9" s="13" t="inlineStr">
        <is>
          <t>Medium</t>
        </is>
      </c>
      <c r="C9" s="18" t="inlineStr">
        <is>
          <t>Keamanan</t>
        </is>
      </c>
      <c r="D9" s="7" t="inlineStr">
        <is>
          <t>routes/web.php:52</t>
        </is>
      </c>
      <c r="E9" s="7" t="inlineStr">
        <is>
          <t>Exemption CSRF pada Logout Route dan Penggunaan HTTP GET. URL /logout dapat diakses via GET dan dikecualikan di VerifyCsrfToken.</t>
        </is>
      </c>
      <c r="F9" s="7" t="inlineStr">
        <is>
          <t>Penyerang dapat memasang tag &lt;img src='.../logout'&gt; di web eksternal untuk memaksa pengguna logout (Cross-Site Request Forgery Logout).</t>
        </is>
      </c>
      <c r="G9" s="7" t="inlineStr">
        <is>
          <t>Hapus 'logout' dari $except di VerifyCsrfToken dan wajibkan logout hanya menerima HTTP POST dengan valid CSRF token.</t>
        </is>
      </c>
      <c r="H9" s="18" t="inlineStr">
        <is>
          <t>Review Konfigurasi &amp; SAST</t>
        </is>
      </c>
      <c r="I9" s="18" t="inlineStr">
        <is>
          <t>Terverifikasi</t>
        </is>
      </c>
    </row>
    <row r="10">
      <c r="A10" s="6" t="inlineStr">
        <is>
          <t>T-09</t>
        </is>
      </c>
      <c r="B10" s="13" t="inlineStr">
        <is>
          <t>Medium</t>
        </is>
      </c>
      <c r="C10" s="18" t="inlineStr">
        <is>
          <t>Bug</t>
        </is>
      </c>
      <c r="D10" s="7" t="inlineStr">
        <is>
          <t>app/Services/PaymentService.php:15</t>
        </is>
      </c>
      <c r="E10" s="7" t="inlineStr">
        <is>
          <t>Ketiadaan Pessimistic Locking pada Pengecekan Overpayment Invoice.</t>
        </is>
      </c>
      <c r="F10" s="7" t="inlineStr">
        <is>
          <t>Jika dua pembayaran tercatat serentak untuk invoice yang sama, akumulasi pembayaran dapat melebihi total tagihan sebelum status 'Paid' terkunci.</t>
        </is>
      </c>
      <c r="G10" s="7" t="inlineStr">
        <is>
          <t>Terapkan lockForUpdate() pada query Invoice di dalam DB::transaction.</t>
        </is>
      </c>
      <c r="H10" s="18" t="inlineStr">
        <is>
          <t>Code Review Logika Kritis</t>
        </is>
      </c>
      <c r="I10" s="18" t="inlineStr">
        <is>
          <t>Terverifikasi</t>
        </is>
      </c>
    </row>
    <row r="11">
      <c r="A11" s="6" t="inlineStr">
        <is>
          <t>T-10</t>
        </is>
      </c>
      <c r="B11" s="13" t="inlineStr">
        <is>
          <t>Medium</t>
        </is>
      </c>
      <c r="C11" s="18" t="inlineStr">
        <is>
          <t>Performa</t>
        </is>
      </c>
      <c r="D11" s="7" t="inlineStr">
        <is>
          <t>app/Models/Product.php:39</t>
        </is>
      </c>
      <c r="E11" s="7" t="inlineStr">
        <is>
          <t>N+1 Query Issue Akibat Appended Accessor 'stock' pada Model Product. $appends = ['stock'] mengeksekusi 3 query terpisah per row jika relasi tidak di-preload.</t>
        </is>
      </c>
      <c r="F11" s="7" t="inlineStr">
        <is>
          <t>Pada pagination atau endpoint list produk (50 item), terjadi 150 query agregasi database, menyebabkan latensi response tinggi.</t>
        </is>
      </c>
      <c r="G11" s="7" t="inlineStr">
        <is>
          <t>Hapus 'stock' dari default $appends, gunakan withSum/subquery untuk list agregat, atau preload relasi stockMovements.</t>
        </is>
      </c>
      <c r="H11" s="18" t="inlineStr">
        <is>
          <t>Code Review Logika Kritis</t>
        </is>
      </c>
      <c r="I11" s="18" t="inlineStr">
        <is>
          <t>Terverifikasi</t>
        </is>
      </c>
    </row>
    <row r="12">
      <c r="A12" s="6" t="inlineStr">
        <is>
          <t>T-11</t>
        </is>
      </c>
      <c r="B12" s="13" t="inlineStr">
        <is>
          <t>Medium</t>
        </is>
      </c>
      <c r="C12" s="18" t="inlineStr">
        <is>
          <t>Keamanan</t>
        </is>
      </c>
      <c r="D12" s="7" t="inlineStr">
        <is>
          <t>app/Http/Controllers/AuthController.php:37</t>
        </is>
      </c>
      <c r="E12" s="7" t="inlineStr">
        <is>
          <t>Penetapan Role Default Tingkat Tinggi ('admin') pada Registrasi Publik Mandiri.</t>
        </is>
      </c>
      <c r="F12" s="7" t="inlineStr">
        <is>
          <t>Pengguna publik yang mendaftar langsung dialokasikan ke role 'admin'. Sekali diaktifkan, mereka memiliki hak akses administratif luas.</t>
        </is>
      </c>
      <c r="G12" s="7" t="inlineStr">
        <is>
          <t>Tetapkan role default registrasi ke peran terendah (misal: 'user'/'guest' atau tanpa izin) dan biarkan Owner menentukan role secara manual.</t>
        </is>
      </c>
      <c r="H12" s="18" t="inlineStr">
        <is>
          <t>Code Review Logika Kritis</t>
        </is>
      </c>
      <c r="I12" s="18" t="inlineStr">
        <is>
          <t>Terverifikasi</t>
        </is>
      </c>
    </row>
    <row r="13">
      <c r="A13" s="6" t="inlineStr">
        <is>
          <t>T-12</t>
        </is>
      </c>
      <c r="B13" s="15" t="inlineStr">
        <is>
          <t>Low</t>
        </is>
      </c>
      <c r="C13" s="18" t="inlineStr">
        <is>
          <t>Maintainability</t>
        </is>
      </c>
      <c r="D13" s="7" t="inlineStr">
        <is>
          <t>app/Services/SalesService.php:80</t>
        </is>
      </c>
      <c r="E13" s="7" t="inlineStr">
        <is>
          <t>Hardcoded Nilai Pajak PPN 11% di Kode Sumber ($taxAmount = $totalAmount * 0.11).</t>
        </is>
      </c>
      <c r="F13" s="7" t="inlineStr">
        <is>
          <t>Jika tarif pajak regulasi berubah (seperti penyesuaian PPN 12%), perubahan harus dilakukan manual di kode sumber dan rawan diskrepansi perhitungan.</t>
        </is>
      </c>
      <c r="G13" s="7" t="inlineStr">
        <is>
          <t>Pindahkan tarif pajak ke konfigurasi dinamis database (tabel settings) atau config('finance.tax_rate').</t>
        </is>
      </c>
      <c r="H13" s="18" t="inlineStr">
        <is>
          <t>Code Review Logika Kritis</t>
        </is>
      </c>
      <c r="I13" s="18" t="inlineStr">
        <is>
          <t>Terverifikasi</t>
        </is>
      </c>
    </row>
    <row r="14">
      <c r="A14" s="6" t="inlineStr">
        <is>
          <t>T-13</t>
        </is>
      </c>
      <c r="B14" s="15" t="inlineStr">
        <is>
          <t>Low</t>
        </is>
      </c>
      <c r="C14" s="18" t="inlineStr">
        <is>
          <t>Maintainability</t>
        </is>
      </c>
      <c r="D14" s="7" t="inlineStr">
        <is>
          <t>app/Http/Controllers/*.php</t>
        </is>
      </c>
      <c r="E14" s="7" t="inlineStr">
        <is>
          <t>71 Ketidaksesuaian Standar Format Kode (PSR-12) Terdeteksi di 140 File oleh Laravel Pint.</t>
        </is>
      </c>
      <c r="F14" s="7" t="inlineStr">
        <is>
          <t>Inkonsistensi indentasi, spasi konkatenasi, pengurutan import, dan trailing commas menurunkan keterbacaan kode.</t>
        </is>
      </c>
      <c r="G14" s="7" t="inlineStr">
        <is>
          <t>Jalankan 'php vendor/bin/pint' secara terjadwal atau pasang pre-commit hook untuk standardisasi format kode tim.</t>
        </is>
      </c>
      <c r="H14" s="18" t="inlineStr">
        <is>
          <t>Laravel Pint (Static Analysis)</t>
        </is>
      </c>
      <c r="I14" s="18" t="inlineStr">
        <is>
          <t>Terverifikasi</t>
        </is>
      </c>
    </row>
  </sheetData>
  <autoFilter ref="A1:I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48" customWidth="1" min="4" max="4"/>
    <col width="14" customWidth="1" min="5" max="5"/>
    <col width="46" customWidth="1" min="6" max="6"/>
  </cols>
  <sheetData>
    <row r="1">
      <c r="A1" s="4" t="inlineStr">
        <is>
          <t>No</t>
        </is>
      </c>
      <c r="B1" s="4" t="inlineStr">
        <is>
          <t>Paket / Lokasi</t>
        </is>
      </c>
      <c r="C1" s="4" t="inlineStr">
        <is>
          <t>Versi Terpasang</t>
        </is>
      </c>
      <c r="D1" s="4" t="inlineStr">
        <is>
          <t>Kerentanan / Jenis Temuan</t>
        </is>
      </c>
      <c r="E1" s="4" t="inlineStr">
        <is>
          <t>Severity</t>
        </is>
      </c>
      <c r="F1" s="4" t="inlineStr">
        <is>
          <t>Versi Perbaikan / Saran</t>
        </is>
      </c>
    </row>
    <row r="2">
      <c r="A2" s="18" t="n">
        <v>1</v>
      </c>
      <c r="B2" s="7" t="inlineStr">
        <is>
          <t>laravel/framework</t>
        </is>
      </c>
      <c r="C2" s="7" t="inlineStr">
        <is>
          <t>v10.48.28</t>
        </is>
      </c>
      <c r="D2" s="7" t="inlineStr">
        <is>
          <t>CRLF Injection in default email rule (GHSA-5vg9-5847-vvmq / PKSA-3r5d-mb8f-1qw9)</t>
        </is>
      </c>
      <c r="E2" s="11" t="inlineStr">
        <is>
          <t>High</t>
        </is>
      </c>
      <c r="F2" s="7" t="inlineStr">
        <is>
          <t>Update ke Laravel &gt;= 12.60.0 atau v13.10.0+</t>
        </is>
      </c>
    </row>
    <row r="3">
      <c r="A3" s="18" t="n">
        <v>2</v>
      </c>
      <c r="B3" s="7" t="inlineStr">
        <is>
          <t>league/commonmark</t>
        </is>
      </c>
      <c r="C3" s="7" t="inlineStr">
        <is>
          <t>2.4.2</t>
        </is>
      </c>
      <c r="D3" s="7" t="inlineStr">
        <is>
          <t>Quadratic-time DoS in GFM Table scan (GHSA-3q6v-r5mr-hxv8 / PKSA-m4t9-vsgq-8khn)</t>
        </is>
      </c>
      <c r="E3" s="11" t="inlineStr">
        <is>
          <t>High</t>
        </is>
      </c>
      <c r="F3" s="7" t="inlineStr">
        <is>
          <t>Update league/commonmark &gt; 2.10.1</t>
        </is>
      </c>
    </row>
    <row r="4">
      <c r="A4" s="18" t="n">
        <v>3</v>
      </c>
      <c r="B4" s="7" t="inlineStr">
        <is>
          <t>shell-quote (npm)</t>
        </is>
      </c>
      <c r="C4" s="7" t="inlineStr">
        <is>
          <t>1.8.1</t>
        </is>
      </c>
      <c r="D4" s="7" t="inlineStr">
        <is>
          <t>Command injection via line terminator in token after comment (GHSA-pqg4-j6r4-53mv)</t>
        </is>
      </c>
      <c r="E4" s="9" t="inlineStr">
        <is>
          <t>Critical</t>
        </is>
      </c>
      <c r="F4" s="7" t="inlineStr">
        <is>
          <t>Update shell-quote ke &gt;= 1.8.2 / npm audit fix</t>
        </is>
      </c>
    </row>
    <row r="5">
      <c r="A5" s="18" t="n">
        <v>4</v>
      </c>
      <c r="B5" s="7" t="inlineStr">
        <is>
          <t>source-map-js (npm)</t>
        </is>
      </c>
      <c r="C5" s="7" t="inlineStr">
        <is>
          <t>1.0.2</t>
        </is>
      </c>
      <c r="D5" s="7" t="inlineStr">
        <is>
          <t>Event-loop DoS through indexed source-map offsets (GHSA-68fv-2mgg-jv7q)</t>
        </is>
      </c>
      <c r="E5" s="11" t="inlineStr">
        <is>
          <t>High</t>
        </is>
      </c>
      <c r="F5" s="7" t="inlineStr">
        <is>
          <t>Update source-map-js ke &gt;= 1.2.1</t>
        </is>
      </c>
    </row>
    <row r="6">
      <c r="A6" s="18" t="n">
        <v>5</v>
      </c>
      <c r="B6" s="7" t="inlineStr">
        <is>
          <t>laravel/framework</t>
        </is>
      </c>
      <c r="C6" s="7" t="inlineStr">
        <is>
          <t>v10.48.28</t>
        </is>
      </c>
      <c r="D6" s="7" t="inlineStr">
        <is>
          <t>Temporary Signed URL Path Confusion (GHSA-crmm-hgp2-wgrp / PKSA-m5cs-t1y6-qpcs)</t>
        </is>
      </c>
      <c r="E6" s="13" t="inlineStr">
        <is>
          <t>Medium</t>
        </is>
      </c>
      <c r="F6" s="7" t="inlineStr">
        <is>
          <t>Update ke Laravel &gt;= 12.61.1</t>
        </is>
      </c>
    </row>
    <row r="7">
      <c r="A7" s="18" t="n">
        <v>6</v>
      </c>
      <c r="B7" s="7" t="inlineStr">
        <is>
          <t>league/commonmark</t>
        </is>
      </c>
      <c r="C7" s="7" t="inlineStr">
        <is>
          <t>2.4.2</t>
        </is>
      </c>
      <c r="D7" s="7" t="inlineStr">
        <is>
          <t>DisallowedRawHtml bypassed when disallowed tag ends literal (GHSA-97jj-33gv-5xf9)</t>
        </is>
      </c>
      <c r="E7" s="13" t="inlineStr">
        <is>
          <t>Medium</t>
        </is>
      </c>
      <c r="F7" s="7" t="inlineStr">
        <is>
          <t>Update league/commonmark &gt; 2.10.1</t>
        </is>
      </c>
    </row>
    <row r="8">
      <c r="A8" s="18" t="n">
        <v>7</v>
      </c>
      <c r="B8" s="7" t="inlineStr">
        <is>
          <t>esbuild / vite (npm)</t>
        </is>
      </c>
      <c r="C8" s="7" t="inlineStr">
        <is>
          <t>0.20.2 / 5.1.4</t>
        </is>
      </c>
      <c r="D8" s="7" t="inlineStr">
        <is>
          <t>Arbitrary local dev server request reading (GHSA-67mh-4wv8-2f99)</t>
        </is>
      </c>
      <c r="E8" s="13" t="inlineStr">
        <is>
          <t>Medium</t>
        </is>
      </c>
      <c r="F8" s="7" t="inlineStr">
        <is>
          <t>Update vite &amp; esbuild ke versi patch terbaru</t>
        </is>
      </c>
    </row>
    <row r="9">
      <c r="A9" s="18" t="n">
        <v>8</v>
      </c>
      <c r="B9" s="7" t="inlineStr">
        <is>
          <t>firebase/php-jwt</t>
        </is>
      </c>
      <c r="C9" s="7" t="inlineStr">
        <is>
          <t>6.10.0</t>
        </is>
      </c>
      <c r="D9" s="7" t="inlineStr">
        <is>
          <t>Weak encryption fallback in certain verification modes (CVE-2025-45769)</t>
        </is>
      </c>
      <c r="E9" s="15" t="inlineStr">
        <is>
          <t>Low</t>
        </is>
      </c>
      <c r="F9" s="7" t="inlineStr">
        <is>
          <t>Update firebase/php-jwt ke &gt;= 7.0.0</t>
        </is>
      </c>
    </row>
    <row r="10">
      <c r="A10" s="18" t="n">
        <v>9</v>
      </c>
      <c r="B10" s="7" t="inlineStr">
        <is>
          <t>laravel/framework</t>
        </is>
      </c>
      <c r="C10" s="7" t="inlineStr">
        <is>
          <t>v10.48.28</t>
        </is>
      </c>
      <c r="D10" s="7" t="inlineStr">
        <is>
          <t>XSS in Debug Page Information (CVE-2026-102279 / GHSA-jh5r-qr3c-85q8)</t>
        </is>
      </c>
      <c r="E10" s="15" t="inlineStr">
        <is>
          <t>Low</t>
        </is>
      </c>
      <c r="F10" s="7" t="inlineStr">
        <is>
          <t>Pastikan APP_DEBUG=false pada production</t>
        </is>
      </c>
    </row>
    <row r="11">
      <c r="A11" s="18" t="n">
        <v>10</v>
      </c>
      <c r="B11" s="7" t="inlineStr">
        <is>
          <t>symfony/http-foundation</t>
        </is>
      </c>
      <c r="C11" s="7" t="inlineStr">
        <is>
          <t>v6.4.16</t>
        </is>
      </c>
      <c r="D11" s="7" t="inlineStr">
        <is>
          <t>ReDoS in HeaderUtils::split() via Cache-Control header (CVE-2026-108082)</t>
        </is>
      </c>
      <c r="E11" s="13" t="inlineStr">
        <is>
          <t>Medium</t>
        </is>
      </c>
      <c r="F11" s="7" t="inlineStr">
        <is>
          <t>Update symfony/http-foundation ke &gt;= 6.4.46</t>
        </is>
      </c>
    </row>
    <row r="12">
      <c r="A12" s="18" t="n">
        <v>11</v>
      </c>
      <c r="B12" s="7" t="inlineStr">
        <is>
          <t>doctrine/cache</t>
        </is>
      </c>
      <c r="C12" s="7" t="inlineStr">
        <is>
          <t>2.2.0</t>
        </is>
      </c>
      <c r="D12" s="7" t="inlineStr">
        <is>
          <t>Paket ditinggalkan (Abandoned Package) oleh pengembang</t>
        </is>
      </c>
      <c r="E12" s="15" t="inlineStr">
        <is>
          <t>Low</t>
        </is>
      </c>
      <c r="F12" s="7" t="inlineStr">
        <is>
          <t>Gantikan dengan symfony/cache atau PSR-6 / PSR-16 cache</t>
        </is>
      </c>
    </row>
    <row r="13">
      <c r="A13" s="18" t="n">
        <v>12</v>
      </c>
      <c r="B13" s="7" t="inlineStr">
        <is>
          <t>.env (Root Workspace)</t>
        </is>
      </c>
      <c r="C13" s="7" t="inlineStr">
        <is>
          <t>N/A</t>
        </is>
      </c>
      <c r="D13" s="7" t="inlineStr">
        <is>
          <t>APP_KEY hardcoded terekam di file konfigurasi lokal aktif</t>
        </is>
      </c>
      <c r="E13" s="13" t="inlineStr">
        <is>
          <t>Medium</t>
        </is>
      </c>
      <c r="F13" s="7" t="inlineStr">
        <is>
          <t>Pastikan .env masuk .gitignore dan lakukan key rotate di server live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2" customWidth="1" min="3" max="3"/>
    <col width="36" customWidth="1" min="4" max="4"/>
    <col width="54" customWidth="1" min="5" max="5"/>
  </cols>
  <sheetData>
    <row r="1">
      <c r="A1" s="4" t="inlineStr">
        <is>
          <t>No</t>
        </is>
      </c>
      <c r="B1" s="4" t="inlineStr">
        <is>
          <t>File : Fungsi</t>
        </is>
      </c>
      <c r="C1" s="4" t="inlineStr">
        <is>
          <t>Kompleksitas Siklomatik</t>
        </is>
      </c>
      <c r="D1" s="4" t="inlineStr">
        <is>
          <t>Duplikasi / Kode Mati</t>
        </is>
      </c>
      <c r="E1" s="4" t="inlineStr">
        <is>
          <t>Catatan &amp; Risiko</t>
        </is>
      </c>
    </row>
    <row r="2">
      <c r="A2" s="18" t="n">
        <v>1</v>
      </c>
      <c r="B2" s="7" t="inlineStr">
        <is>
          <t>app/Services/SalesService.php:createSale</t>
        </is>
      </c>
      <c r="C2" s="9" t="n">
        <v>51</v>
      </c>
      <c r="D2" s="7" t="inlineStr">
        <is>
          <t>Duplikasi logika subtotal &amp; stock movements</t>
        </is>
      </c>
      <c r="E2" s="7" t="inlineStr">
        <is>
          <t>Kompleksitas sangat tinggi; menggabungkan validasi stok, invoice, dan item penjualan.</t>
        </is>
      </c>
    </row>
    <row r="3">
      <c r="A3" s="18" t="n">
        <v>2</v>
      </c>
      <c r="B3" s="7" t="inlineStr">
        <is>
          <t>app/Http/Controllers/ReportController.php:export</t>
        </is>
      </c>
      <c r="C3" s="9" t="n">
        <v>46</v>
      </c>
      <c r="D3" s="7" t="inlineStr">
        <is>
          <t>Percabangan format Excel/PDF &amp; query filter</t>
        </is>
      </c>
      <c r="E3" s="7" t="inlineStr">
        <is>
          <t>Banyak nested if untuk setiap tipe laporan; disarankan memakai strategy pattern.</t>
        </is>
      </c>
    </row>
    <row r="4">
      <c r="A4" s="18" t="n">
        <v>3</v>
      </c>
      <c r="B4" s="7" t="inlineStr">
        <is>
          <t>app/Http/Controllers/DashboardController.php:index</t>
        </is>
      </c>
      <c r="C4" s="9" t="n">
        <v>34</v>
      </c>
      <c r="D4" s="7" t="inlineStr">
        <is>
          <t>Perhitungan KPI terulang di beberapa method</t>
        </is>
      </c>
      <c r="E4" s="7" t="inlineStr">
        <is>
          <t>Mengumpulkan puluhan metrik dalam 1 controller; disarankan dipisah ke DashboardService.</t>
        </is>
      </c>
    </row>
    <row r="5">
      <c r="A5" s="18" t="n">
        <v>4</v>
      </c>
      <c r="B5" s="7" t="inlineStr">
        <is>
          <t>app/Http/Controllers/TenderController.php:store</t>
        </is>
      </c>
      <c r="C5" s="9" t="n">
        <v>31</v>
      </c>
      <c r="D5" s="7" t="inlineStr">
        <is>
          <t>Validasi manual &amp; pemetaan approval bertingkat</t>
        </is>
      </c>
      <c r="E5" s="7" t="inlineStr">
        <is>
          <t>Mengatur status approval owner/manager di method store; rawan inkonsistensi.</t>
        </is>
      </c>
    </row>
    <row r="6">
      <c r="A6" s="18" t="n">
        <v>5</v>
      </c>
      <c r="B6" s="7" t="inlineStr">
        <is>
          <t>app/Http/Controllers/ReportController.php:index</t>
        </is>
      </c>
      <c r="C6" s="11" t="n">
        <v>25</v>
      </c>
      <c r="D6" s="7" t="inlineStr">
        <is>
          <t>Filter query duplikat dengan export()</t>
        </is>
      </c>
      <c r="E6" s="7" t="inlineStr">
        <is>
          <t>Logika filtering tanggal dan kategori duplikat antara method index dan export.</t>
        </is>
      </c>
    </row>
    <row r="7">
      <c r="A7" s="18" t="n">
        <v>6</v>
      </c>
      <c r="B7" s="7" t="inlineStr">
        <is>
          <t>app/Http/Controllers/SalesController.php:store</t>
        </is>
      </c>
      <c r="C7" s="11" t="n">
        <v>23</v>
      </c>
      <c r="D7" s="7" t="inlineStr">
        <is>
          <t>Pengecekan role &amp; input item multi-baris</t>
        </is>
      </c>
      <c r="E7" s="7" t="inlineStr">
        <is>
          <t>Menghandle data input customer dan mapping item; delegasi ke service masih minim.</t>
        </is>
      </c>
    </row>
    <row r="8">
      <c r="A8" s="18" t="n">
        <v>7</v>
      </c>
      <c r="B8" s="7" t="inlineStr">
        <is>
          <t>app/Http/Controllers/ServiceOperationsController.php:updateProgress</t>
        </is>
      </c>
      <c r="C8" s="11" t="n">
        <v>23</v>
      </c>
      <c r="D8" s="7" t="inlineStr">
        <is>
          <t>Sinkronisasi otomatis ke Modul Tender</t>
        </is>
      </c>
      <c r="E8" s="7" t="inlineStr">
        <is>
          <t>Mengupdate status job, technician assignment, dan tender sekaligus; rawan race condition.</t>
        </is>
      </c>
    </row>
    <row r="9">
      <c r="A9" s="18" t="n">
        <v>8</v>
      </c>
      <c r="B9" s="7" t="inlineStr">
        <is>
          <t>app/Services/ProcurementService.php:createProcurement</t>
        </is>
      </c>
      <c r="C9" s="11" t="n">
        <v>22</v>
      </c>
      <c r="D9" s="7" t="inlineStr">
        <is>
          <t>Logika perulangan item pengadaan &amp; stok IN</t>
        </is>
      </c>
      <c r="E9" s="7" t="inlineStr">
        <is>
          <t>Penanganan transaksi item dan kalkulasi total subtotal dalam 1 blok besar.</t>
        </is>
      </c>
    </row>
    <row r="10">
      <c r="A10" s="18" t="n">
        <v>9</v>
      </c>
      <c r="B10" s="7" t="inlineStr">
        <is>
          <t>app/Http/Middleware/AuditActivity.php:handle</t>
        </is>
      </c>
      <c r="C10" s="13" t="n">
        <v>19</v>
      </c>
      <c r="D10" s="7" t="inlineStr">
        <is>
          <t>Parsing parameter route &amp; filter tipe mutasi</t>
        </is>
      </c>
      <c r="E10" s="7" t="inlineStr">
        <is>
          <t>Mengekstrak model ID dari berbagai variasi route parameter; sulit dimaintain.</t>
        </is>
      </c>
    </row>
    <row r="11">
      <c r="A11" s="18" t="n">
        <v>10</v>
      </c>
      <c r="B11" s="7" t="inlineStr">
        <is>
          <t>app/Services/TenderService.php:convertTenderToContract</t>
        </is>
      </c>
      <c r="C11" s="13" t="n">
        <v>19</v>
      </c>
      <c r="D11" s="7" t="inlineStr">
        <is>
          <t>Pemindahan item tender ke klausul kontrak</t>
        </is>
      </c>
      <c r="E11" s="7" t="inlineStr">
        <is>
          <t>Banyak percabangan validasi status tender sebelum konversi diizinkan.</t>
        </is>
      </c>
    </row>
    <row r="12">
      <c r="A12" s="18" t="n">
        <v>11</v>
      </c>
      <c r="B12" s="7" t="inlineStr">
        <is>
          <t>app/Http/Controllers/TenderProjectController.php:updateStatus</t>
        </is>
      </c>
      <c r="C12" s="13" t="n">
        <v>18</v>
      </c>
      <c r="D12" s="7" t="inlineStr">
        <is>
          <t>Validasi alur transisi status proyek</t>
        </is>
      </c>
      <c r="E12" s="7" t="inlineStr">
        <is>
          <t>Pengecekan prasyarat dokumen sebelum status lapangan dapat bergeser.</t>
        </is>
      </c>
    </row>
    <row r="13">
      <c r="A13" s="18" t="n">
        <v>12</v>
      </c>
      <c r="B13" s="7" t="inlineStr">
        <is>
          <t>app/Http/Controllers/ProductController.php:index</t>
        </is>
      </c>
      <c r="C13" s="13" t="n">
        <v>17</v>
      </c>
      <c r="D13" s="7" t="inlineStr">
        <is>
          <t>Kondisional filter status permohonan</t>
        </is>
      </c>
      <c r="E13" s="7" t="inlineStr">
        <is>
          <t>4 blok if/elseif untuk menangani filter tab pending, penghapusan, dan penyesuaian.</t>
        </is>
      </c>
    </row>
    <row r="14">
      <c r="A14" s="18" t="n">
        <v>13</v>
      </c>
      <c r="B14" s="7" t="inlineStr">
        <is>
          <t>app/Http/Controllers/TenderController.php:index</t>
        </is>
      </c>
      <c r="C14" s="13" t="n">
        <v>17</v>
      </c>
      <c r="D14" s="7" t="inlineStr">
        <is>
          <t>Filter multi-kriteria &amp; subquery counting</t>
        </is>
      </c>
      <c r="E14" s="7" t="inlineStr">
        <is>
          <t>Menggabungkan pencarian teks dengan filter status approval dan submission.</t>
        </is>
      </c>
    </row>
    <row r="15">
      <c r="A15" s="18" t="n">
        <v>14</v>
      </c>
      <c r="B15" s="7" t="inlineStr">
        <is>
          <t>app/Http/Controllers/ProductController.php:approveChangeRequest</t>
        </is>
      </c>
      <c r="C15" s="13" t="n">
        <v>16</v>
      </c>
      <c r="D15" s="7" t="inlineStr">
        <is>
          <t>Percabangan dua jenis request (stok vs harga)</t>
        </is>
      </c>
      <c r="E15" s="7" t="inlineStr">
        <is>
          <t>Sebaiknya dipisah menjadi 2 method tersendiri: approveStock dan approvePrice.</t>
        </is>
      </c>
    </row>
    <row r="16">
      <c r="A16" s="18" t="n">
        <v>15</v>
      </c>
      <c r="B16" s="7" t="inlineStr">
        <is>
          <t>app/Http/Controllers/CommercialDocumentController.php:storeServiceQuotation</t>
        </is>
      </c>
      <c r="C16" s="13" t="n">
        <v>15</v>
      </c>
      <c r="D16" s="7" t="inlineStr">
        <is>
          <t>Perhitungan total &amp; PPN item quotation</t>
        </is>
      </c>
      <c r="E16" s="7" t="inlineStr">
        <is>
          <t>Pola perhitungan PPN 11% berulang dengan SalesService.</t>
        </is>
      </c>
    </row>
    <row r="17">
      <c r="A17" s="18" t="n">
        <v>16</v>
      </c>
      <c r="B17" s="7" t="inlineStr">
        <is>
          <t>app/Http/Controllers/TechnicianController.php:index</t>
        </is>
      </c>
      <c r="C17" s="13" t="n">
        <v>14</v>
      </c>
      <c r="D17" s="7" t="inlineStr">
        <is>
          <t>Filter kompetensi &amp; ketersediaan teknisi</t>
        </is>
      </c>
      <c r="E17" s="7" t="inlineStr">
        <is>
          <t>Query filter status teknisi dan mapping tugas aktif.</t>
        </is>
      </c>
    </row>
    <row r="18">
      <c r="A18" s="18" t="n">
        <v>17</v>
      </c>
      <c r="B18" s="7" t="inlineStr">
        <is>
          <t>app/Http/Controllers/TenderRabController.php:storeItem</t>
        </is>
      </c>
      <c r="C18" s="13" t="n">
        <v>14</v>
      </c>
      <c r="D18" s="7" t="inlineStr">
        <is>
          <t>Kalkulasi margin profit &amp; subtotal RAB</t>
        </is>
      </c>
      <c r="E18" s="7" t="inlineStr">
        <is>
          <t>Perhitungan margin berulang untuk internal vs subkontraktor.</t>
        </is>
      </c>
    </row>
    <row r="19">
      <c r="A19" s="18" t="n">
        <v>18</v>
      </c>
      <c r="B19" s="7" t="inlineStr">
        <is>
          <t>app/Http/Controllers/AuthController.php:handleProviderCallback</t>
        </is>
      </c>
      <c r="C19" s="13" t="n">
        <v>14</v>
      </c>
      <c r="D19" s="7" t="inlineStr">
        <is>
          <t>Penanganan Socialite multi-provider</t>
        </is>
      </c>
      <c r="E19" s="7" t="inlineStr">
        <is>
          <t>Banyak pengecekan fallback email, linking oauth, dan aktivasi akun.</t>
        </is>
      </c>
    </row>
    <row r="20">
      <c r="A20" s="18" t="n">
        <v>19</v>
      </c>
      <c r="B20" s="7" t="inlineStr">
        <is>
          <t>app/Http/Controllers/ServiceJobController.php:store</t>
        </is>
      </c>
      <c r="C20" s="13" t="n">
        <v>13</v>
      </c>
      <c r="D20" s="7" t="inlineStr">
        <is>
          <t>Pemetaan klien baru vs klien terdaftar</t>
        </is>
      </c>
      <c r="E20" s="7" t="inlineStr">
        <is>
          <t>Logika resolve klien serupa dengan yang ada di TenderController (duplikasi).</t>
        </is>
      </c>
    </row>
    <row r="21">
      <c r="A21" s="18" t="n">
        <v>20</v>
      </c>
      <c r="B21" s="7" t="inlineStr">
        <is>
          <t>app/Http/Controllers/DashboardController.php:calculateKpi</t>
        </is>
      </c>
      <c r="C21" s="13" t="n">
        <v>12</v>
      </c>
      <c r="D21" s="7" t="inlineStr">
        <is>
          <t>Perhitungan persentase margin &amp; rasio</t>
        </is>
      </c>
      <c r="E21" s="7" t="inlineStr">
        <is>
          <t>Pembagian angka tanpa penanganan pembagi nol (zero division risk).</t>
        </is>
      </c>
    </row>
  </sheetData>
  <autoFilter ref="A1:E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4" customWidth="1" min="3" max="3"/>
    <col width="54" customWidth="1" min="4" max="4"/>
    <col width="16" customWidth="1" min="5" max="5"/>
  </cols>
  <sheetData>
    <row r="1">
      <c r="A1" s="4" t="inlineStr">
        <is>
          <t>No</t>
        </is>
      </c>
      <c r="B1" s="4" t="inlineStr">
        <is>
          <t>Modul / Fungsi</t>
        </is>
      </c>
      <c r="C1" s="4" t="inlineStr">
        <is>
          <t>Cabang / Kondisi yang Belum Teruji</t>
        </is>
      </c>
      <c r="D1" s="4" t="inlineStr">
        <is>
          <t>Skenario yang Disarankan</t>
        </is>
      </c>
      <c r="E1" s="4" t="inlineStr">
        <is>
          <t>Prioritas</t>
        </is>
      </c>
    </row>
    <row r="2">
      <c r="A2" s="18" t="n">
        <v>1</v>
      </c>
      <c r="B2" s="7" t="inlineStr">
        <is>
          <t>SalesService::createSale</t>
        </is>
      </c>
      <c r="C2" s="7" t="inlineStr">
        <is>
          <t>Transaksi penjualan serentak pada produk dengan stok terbatas.</t>
        </is>
      </c>
      <c r="D2" s="7" t="inlineStr">
        <is>
          <t>Uji konkurensi (2 request paralel) saat sisa stok = 10 dan masing-masing meminta 10. Pastikan 1 berhasil dan 1 gagal dengan exception stok tidak cukup.</t>
        </is>
      </c>
      <c r="E2" s="9" t="inlineStr">
        <is>
          <t>P1 (Critical)</t>
        </is>
      </c>
    </row>
    <row r="3">
      <c r="A3" s="18" t="n">
        <v>2</v>
      </c>
      <c r="B3" s="7" t="inlineStr">
        <is>
          <t>BusinessApiController::destroyTender</t>
        </is>
      </c>
      <c r="C3" s="7" t="inlineStr">
        <is>
          <t>Akses penghapusan tender oleh role admin via API token.</t>
        </is>
      </c>
      <c r="D3" s="7" t="inlineStr">
        <is>
          <t>Kirim DELETE /api/tenders/{id} menggunakan token user role 'admin'. Pastikan sistem mengembalikan HTTP 403 Forbidden.</t>
        </is>
      </c>
      <c r="E3" s="9" t="inlineStr">
        <is>
          <t>P1 (Critical)</t>
        </is>
      </c>
    </row>
    <row r="4">
      <c r="A4" s="18" t="n">
        <v>3</v>
      </c>
      <c r="B4" s="7" t="inlineStr">
        <is>
          <t>TenderController::uploadDocument</t>
        </is>
      </c>
      <c r="C4" s="7" t="inlineStr">
        <is>
          <t>Validasi file berbahaya (.php, .exe, .html, .svg) pada dokumen tender.</t>
        </is>
      </c>
      <c r="D4" s="7" t="inlineStr">
        <is>
          <t>Unggah file exploit.php atau xss.html. Pastikan validator mengembalikan error 422 dan file tidak tersimpan di storage public.</t>
        </is>
      </c>
      <c r="E4" s="9" t="inlineStr">
        <is>
          <t>P1 (Critical)</t>
        </is>
      </c>
    </row>
    <row r="5">
      <c r="A5" s="18" t="n">
        <v>4</v>
      </c>
      <c r="B5" s="7" t="inlineStr">
        <is>
          <t>BusinessApiController::updateProduct</t>
        </is>
      </c>
      <c r="C5" s="7" t="inlineStr">
        <is>
          <t>Bypass perubahan harga produk tanpa persetujuan Manager.</t>
        </is>
      </c>
      <c r="D5" s="7" t="inlineStr">
        <is>
          <t>Kirim PUT /api/products/{id} dengan payload selling_price baru oleh user non-manajemen. Pastikan request ditolak.</t>
        </is>
      </c>
      <c r="E5" s="9" t="inlineStr">
        <is>
          <t>P1 (Critical)</t>
        </is>
      </c>
    </row>
    <row r="6">
      <c r="A6" s="18" t="n">
        <v>5</v>
      </c>
      <c r="B6" s="7" t="inlineStr">
        <is>
          <t>ServiceOperationsController::requestMaterial</t>
        </is>
      </c>
      <c r="C6" s="7" t="inlineStr">
        <is>
          <t>Permintaan material melebihi stok barang di gudang Dagang.</t>
        </is>
      </c>
      <c r="D6" s="7" t="inlineStr">
        <is>
          <t>Pilih product_id dengan stok = 2 dan request quantity = 10. Pastikan sistem melempar validasi error bahwa stok gudang tidak mencukupi.</t>
        </is>
      </c>
      <c r="E6" s="11" t="inlineStr">
        <is>
          <t>P2 (High)</t>
        </is>
      </c>
    </row>
    <row r="7">
      <c r="A7" s="18" t="n">
        <v>6</v>
      </c>
      <c r="B7" s="7" t="inlineStr">
        <is>
          <t>PaymentService::recordPayment</t>
        </is>
      </c>
      <c r="C7" s="7" t="inlineStr">
        <is>
          <t>Pembayaran ganda bersamaan pada sisa saldo invoice.</t>
        </is>
      </c>
      <c r="D7" s="7" t="inlineStr">
        <is>
          <t>Kirim dua pembayaran simultan Rp 600.000 pada invoice bersisa Rp 1.000.000. Pastikan total terbayar tidak melebihi sisa tagihan.</t>
        </is>
      </c>
      <c r="E7" s="11" t="inlineStr">
        <is>
          <t>P2 (High)</t>
        </is>
      </c>
    </row>
    <row r="8">
      <c r="A8" s="18" t="n">
        <v>7</v>
      </c>
      <c r="B8" s="7" t="inlineStr">
        <is>
          <t>AuthController::logout</t>
        </is>
      </c>
      <c r="C8" s="7" t="inlineStr">
        <is>
          <t>Serangan CSRF Logout via GET request dari domain eksternal.</t>
        </is>
      </c>
      <c r="D8" s="7" t="inlineStr">
        <is>
          <t>Simulasikan request GET /logout tanpa valid CSRF token. Pastikan session tidak diinvalidation jika request berupa GET tanpa proteksi.</t>
        </is>
      </c>
      <c r="E8" s="11" t="inlineStr">
        <is>
          <t>P2 (High)</t>
        </is>
      </c>
    </row>
    <row r="9">
      <c r="A9" s="18" t="n">
        <v>8</v>
      </c>
      <c r="B9" s="7" t="inlineStr">
        <is>
          <t>AuthController::sendResetLink</t>
        </is>
      </c>
      <c r="C9" s="7" t="inlineStr">
        <is>
          <t>Ekspos token reset password pada mode staging/local.</t>
        </is>
      </c>
      <c r="D9" s="7" t="inlineStr">
        <is>
          <t>Request forgot password pada akun terdaftar. Pastikan response JSON/Session tidak mengembalikan reset_url saat diuji di staging/production.</t>
        </is>
      </c>
      <c r="E9" s="11" t="inlineStr">
        <is>
          <t>P2 (High)</t>
        </is>
      </c>
    </row>
    <row r="10">
      <c r="A10" s="18" t="n">
        <v>9</v>
      </c>
      <c r="B10" s="7" t="inlineStr">
        <is>
          <t>SalesService::createSale</t>
        </is>
      </c>
      <c r="C10" s="7" t="inlineStr">
        <is>
          <t>Collision penomoran sale_number akibat rand(100, 999).</t>
        </is>
      </c>
      <c r="D10" s="7" t="inlineStr">
        <is>
          <t>Simulasikan 100 transaksi penjualan dalam 1 detik. Pastikan semua sale_number unik dan tidak terjadi QueryException duplicate key.</t>
        </is>
      </c>
      <c r="E10" s="13" t="inlineStr">
        <is>
          <t>P3 (Medium)</t>
        </is>
      </c>
    </row>
    <row r="11">
      <c r="A11" s="18" t="n">
        <v>10</v>
      </c>
      <c r="B11" s="7" t="inlineStr">
        <is>
          <t>Product::getStockAttribute</t>
        </is>
      </c>
      <c r="C11" s="7" t="inlineStr">
        <is>
          <t>Evaluasi jumlah query (N+1) pada pemanggilan list produk.</t>
        </is>
      </c>
      <c r="D11" s="7" t="inlineStr">
        <is>
          <t>Panggil Product::paginate(50)-&gt;toArray() dan ukur DB::getQueryLog(). Pastikan jumlah query tidak melompat menjadi &gt; 150 query.</t>
        </is>
      </c>
      <c r="E11" s="13" t="inlineStr">
        <is>
          <t>P3 (Medium)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2" customWidth="1" min="3" max="3"/>
    <col width="46" customWidth="1" min="4" max="4"/>
    <col width="48" customWidth="1" min="5" max="5"/>
  </cols>
  <sheetData>
    <row r="1">
      <c r="A1" s="4" t="inlineStr">
        <is>
          <t>No</t>
        </is>
      </c>
      <c r="B1" s="4" t="inlineStr">
        <is>
          <t>Aspek / Modul</t>
        </is>
      </c>
      <c r="C1" s="4" t="inlineStr">
        <is>
          <t>Kendala yang Ditemui</t>
        </is>
      </c>
      <c r="D1" s="4" t="inlineStr">
        <is>
          <t>Penyebab Teknis</t>
        </is>
      </c>
      <c r="E1" s="4" t="inlineStr">
        <is>
          <t>Dampak pada Pengujian</t>
        </is>
      </c>
    </row>
    <row r="2">
      <c r="A2" s="18" t="n">
        <v>1</v>
      </c>
      <c r="B2" s="7" t="inlineStr">
        <is>
          <t>Eksekusi Feature Tests</t>
        </is>
      </c>
      <c r="C2" s="7" t="inlineStr">
        <is>
          <t>14 dari 15 test gagal dieksekusi saat 'php artisan test' dijalankan.</t>
        </is>
      </c>
      <c r="D2" s="7" t="inlineStr">
        <is>
          <t>PHP CLI 8.1.10 pada Laragon belum mengaktifkan ekstensi pdo_sqlite, sedangkan phpunit.xml mengarahkan koneksi ke SQLite In-Memory.</t>
        </is>
      </c>
      <c r="E2" s="7" t="inlineStr">
        <is>
          <t>Pengujian integrasi otomatis tidak dapat memvalidasi alur bisnis secara dinamis; pengujian dikompensasi via code review mendalam.</t>
        </is>
      </c>
    </row>
    <row r="3">
      <c r="A3" s="18" t="n">
        <v>2</v>
      </c>
      <c r="B3" s="7" t="inlineStr">
        <is>
          <t>Dynamic Code Coverage Profiling</t>
        </is>
      </c>
      <c r="C3" s="7" t="inlineStr">
        <is>
          <t>Tidak dapat menghasilkan laporan persentase line/branch coverage real-time.</t>
        </is>
      </c>
      <c r="D3" s="7" t="inlineStr">
        <is>
          <t>Ekstensi driver coverage (Xdebug atau PCOV) tidak terpasang di runtime PHP CLI lokal.</t>
        </is>
      </c>
      <c r="E3" s="7" t="inlineStr">
        <is>
          <t>Cakupan pengujian (coverage) dilaporkan berdasarkan ketiadaan tes fungsional yang lulus pada modul-modul bersangkutan.</t>
        </is>
      </c>
    </row>
    <row r="4">
      <c r="A4" s="18" t="n">
        <v>3</v>
      </c>
      <c r="B4" s="7" t="inlineStr">
        <is>
          <t>Aturan Ketat Non-Mutasi Kode</t>
        </is>
      </c>
      <c r="C4" s="7" t="inlineStr">
        <is>
          <t>Tidak diperkenankan mengubah phpunit.xml atau mengaktifkan ekstensi host.</t>
        </is>
      </c>
      <c r="D4" s="7" t="inlineStr">
        <is>
          <t>Aturan Strict Rule 1 &amp; Rule 7 melarang modifikasi kode atau file konfigurasi proyek, serta melarang 'memperbaiki' kegagalan test.</t>
        </is>
      </c>
      <c r="E4" s="7" t="inlineStr">
        <is>
          <t>Kondisi dilaporkan secara objektif dan faktual apa adanya dalam laporan QA.</t>
        </is>
      </c>
    </row>
    <row r="5">
      <c r="A5" s="18" t="n">
        <v>4</v>
      </c>
      <c r="B5" s="7" t="inlineStr">
        <is>
          <t>Audit Secret di History Git</t>
        </is>
      </c>
      <c r="C5" s="7" t="inlineStr">
        <is>
          <t>Analisis riwayat git commits terbatas pada shallow clone lokal.</t>
        </is>
      </c>
      <c r="D5" s="7" t="inlineStr">
        <is>
          <t>Repositori lokal berada di direktori SignalNiagaJasaTender dan sebagian file log tidak dimasukkan ke version control.</t>
        </is>
      </c>
      <c r="E5" s="7" t="inlineStr">
        <is>
          <t>Pemindaian kredensial difokuskan pada file konfigurasi (.env, config/) dan tree kode sumber aktif.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2026-10-17T11:15:40Z</dcterms:created>
  <dcterms:modified xsi:type="dcterms:W3CDTF">2026-10-17T11:15:40Z</dcterms:modified>
</cp:coreProperties>
</file>